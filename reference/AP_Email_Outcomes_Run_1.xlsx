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repos\AP-Email\reference\"/>
    </mc:Choice>
  </mc:AlternateContent>
  <xr:revisionPtr revIDLastSave="0" documentId="8_{461705D1-E07A-4E84-B7D9-B63204A0D9E7}" xr6:coauthVersionLast="47" xr6:coauthVersionMax="47" xr10:uidLastSave="{00000000-0000-0000-0000-000000000000}"/>
  <bookViews>
    <workbookView xWindow="-90" yWindow="0" windowWidth="25780" windowHeight="20970" xr2:uid="{00000000-000D-0000-FFFF-FFFF00000000}"/>
  </bookViews>
  <sheets>
    <sheet name="Evaluation" sheetId="1" r:id="rId1"/>
    <sheet name="Lists" sheetId="2" state="hidden" r:id="rId2"/>
  </sheets>
  <definedNames>
    <definedName name="Action_List">Lists!$A$1:$A$10</definedName>
    <definedName name="Reason_List">Lists!$B$1:$B$14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1" l="1"/>
  <c r="F55" i="1"/>
</calcChain>
</file>

<file path=xl/sharedStrings.xml><?xml version="1.0" encoding="utf-8"?>
<sst xmlns="http://schemas.openxmlformats.org/spreadsheetml/2006/main" count="190" uniqueCount="97">
  <si>
    <t>Forward to Medius</t>
  </si>
  <si>
    <t>Forward to Property Manager / Fund Contact</t>
  </si>
  <si>
    <t>Forward to Other Hillwood Inbox</t>
  </si>
  <si>
    <t>File Only</t>
  </si>
  <si>
    <t>Archive / No Action</t>
  </si>
  <si>
    <t>Escalate for Manual Review</t>
  </si>
  <si>
    <t>Escalate Vendor Inquiry</t>
  </si>
  <si>
    <t>Flag Potential Duplicate</t>
  </si>
  <si>
    <t>Flag Low Confidence / Needs Routing Help</t>
  </si>
  <si>
    <t>Flag Sold or Invalid Property</t>
  </si>
  <si>
    <t>Clean invoice - Hillwood owned property</t>
  </si>
  <si>
    <t>Clean invoice - external PM property</t>
  </si>
  <si>
    <t>Wrong division - ALC or Multifamily</t>
  </si>
  <si>
    <t>ACH / auto-draft / payment notice</t>
  </si>
  <si>
    <t>High-dollar invoice / lien release hold</t>
  </si>
  <si>
    <t>Statement or account summary</t>
  </si>
  <si>
    <t>Multi-invoice PDF needs splitting</t>
  </si>
  <si>
    <t>Invoice plus lien waiver needs merging</t>
  </si>
  <si>
    <t>Invoice provided by link only</t>
  </si>
  <si>
    <t>Contract or pay application</t>
  </si>
  <si>
    <t>Vendor question / payment inquiry / past due notice</t>
  </si>
  <si>
    <t>Possible duplicate submission</t>
  </si>
  <si>
    <t>Building/property could not be identified</t>
  </si>
  <si>
    <t>Sold, inactive, or invalid property</t>
  </si>
  <si>
    <t>AI Agent Email Evaluation Template</t>
  </si>
  <si>
    <t>Use this sheet to record the action the business team expects for each email before comparing against the AI agent output.</t>
  </si>
  <si>
    <t>Invoice GW22 Pest Control</t>
  </si>
  <si>
    <t>Invoice 12345 - Hillwood Property</t>
  </si>
  <si>
    <t>ACH Payment Notice - Ben E Keith</t>
  </si>
  <si>
    <t>Past Due Notice - Vendor Inquiry</t>
  </si>
  <si>
    <t>Multiple Invoices PDF Attached</t>
  </si>
  <si>
    <t>Invoice over $10,000 - lien release needed</t>
  </si>
  <si>
    <t>Statement of Account</t>
  </si>
  <si>
    <t>Date</t>
  </si>
  <si>
    <t>Email Title</t>
  </si>
  <si>
    <t>Action</t>
  </si>
  <si>
    <t>Reason</t>
  </si>
  <si>
    <t>$1M Fort Worth Check Request</t>
  </si>
  <si>
    <t>*repair quote received for external PM property- forwarded to Prop Mgr for review</t>
  </si>
  <si>
    <t>Column1</t>
  </si>
  <si>
    <t>*multi-pdf - invoice and backup support need to be combined</t>
  </si>
  <si>
    <t>Column2</t>
  </si>
  <si>
    <t xml:space="preserve">*SPAM Notification for AP inbox </t>
  </si>
  <si>
    <t>Column3</t>
  </si>
  <si>
    <t>*forward to Prop Mgr for review</t>
  </si>
  <si>
    <t>Column4</t>
  </si>
  <si>
    <t>*Auto Pay Enrollment Notice-Advertisement</t>
  </si>
  <si>
    <t>Column5</t>
  </si>
  <si>
    <t>*lien releases not needed- construction fees</t>
  </si>
  <si>
    <t>Column6</t>
  </si>
  <si>
    <t>CornerStone Pay App 1</t>
  </si>
  <si>
    <t>*review needed as 25% deposit required</t>
  </si>
  <si>
    <t>Column7</t>
  </si>
  <si>
    <t>0000752944 / 80040277   ACH EzPay Actual Payment</t>
  </si>
  <si>
    <t>Acct No. C0000888: Your Invoices From TDIndustries are Attached</t>
  </si>
  <si>
    <t>ACH Payment on 5/11/2026</t>
  </si>
  <si>
    <t>ACH Received 5/11/2026</t>
  </si>
  <si>
    <t>Attached is your invoice #3530 from Alliance Landscape Co LLC</t>
  </si>
  <si>
    <t>Attached is your invoice #3531 from Alliance Landscape Co LLC</t>
  </si>
  <si>
    <t>Auto Pay Enrollment Notice – Streamline Your Payments &amp; Avoid Monthly Fees</t>
  </si>
  <si>
    <t>Ben E. Keith Invoice ChefTec ST 752944</t>
  </si>
  <si>
    <t>Expense Report (2 of 2) / April 2026 / Janis Harrison</t>
  </si>
  <si>
    <t>Fortune Fish - Past Due Invoices for Circle T Ranch</t>
  </si>
  <si>
    <t>FW: Invoice for Project Number: 2375 - Project Name :The Reverie (Fort Worth, TX)</t>
  </si>
  <si>
    <t>FW: Shirley's House Reno Bid</t>
  </si>
  <si>
    <t>FW: TRUE Invoices 946763, 946792 for TIMARRON CC(Invited)</t>
  </si>
  <si>
    <t>GW 60 | Invoice 60330</t>
  </si>
  <si>
    <t>Invoice 35018 from Southern Fire Protection</t>
  </si>
  <si>
    <t>Invoice due notification - INVOICE-0156295 due today</t>
  </si>
  <si>
    <t>Invoice for IMPAK Services</t>
  </si>
  <si>
    <t>INVOICE FW32-004458</t>
  </si>
  <si>
    <t>Lone Star Meats Ltd. AR Statement for 22543</t>
  </si>
  <si>
    <t>Mulford Wedding - Vendor Meals</t>
  </si>
  <si>
    <t>New payment request from Wade Electric - invoice 6093</t>
  </si>
  <si>
    <t>Outstanding Vendor Invoice - All Test Fire Protection, LLC is 1 day overdue</t>
  </si>
  <si>
    <t>Past Due Payment Reminder</t>
  </si>
  <si>
    <t>Quote for Repair at HCX ready for approval</t>
  </si>
  <si>
    <t>RE: AG70/71 - Shell: Water/Sewer Impact Fee</t>
  </si>
  <si>
    <t>RE: Invoice-0156295</t>
  </si>
  <si>
    <t>Receipt #R00889565</t>
  </si>
  <si>
    <t>REMINDER - Your CoServ bill is due</t>
  </si>
  <si>
    <t xml:space="preserve">Spam 4U: 1 New Message </t>
  </si>
  <si>
    <t>Upcoming Service Appointment on Wednesday, May 13th</t>
  </si>
  <si>
    <t>Correct</t>
  </si>
  <si>
    <t>Incorrect action/reason. This is a regular kind of automated email that doesn't have any kind of action. It should go into NO_ACTION</t>
  </si>
  <si>
    <t>Incorrect action/reason. This has a link to pay a bill in it. It should end in REVIEW_QUEUE.</t>
  </si>
  <si>
    <t>Incorrect action/reason. This one is a receipt - it only needs to be FILED.</t>
  </si>
  <si>
    <t>Incorrect action/reason. Should have been mapped to MEDIUS because of address 9800 HILLWOOD PWKY STE 300 - did the alias not map successfully?</t>
  </si>
  <si>
    <t>I think this one is manual review too?</t>
  </si>
  <si>
    <t>I think this one is manual review too? I don't see a way to know which property it's associated with</t>
  </si>
  <si>
    <t>Review</t>
  </si>
  <si>
    <t>Incorrect action/reason. Bill To address in invoice should have it mapped to going to Medius.</t>
  </si>
  <si>
    <t>Incorrect action/reason. The address/alias is in the attachment. The address actually doesn't match the lookup like but HC-2 does. Need to make sure this alias would match.</t>
  </si>
  <si>
    <t>Incorrect action/reason. The attachment has Location: The Texas Barn at Circle T Ranch which maps to Circle T Barn / Medius in lookup file.</t>
  </si>
  <si>
    <t>Incorrect action/reason. The attachment has The Reverie/address. This combo is not in the mapping file.</t>
  </si>
  <si>
    <t>Correctly escalated… Need to look into tags/labels for reasoning</t>
  </si>
  <si>
    <t>Does this get forwarded or put on 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</si>
</sst>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1F4E78"/>
      <name val="Calibri"/>
      <family val="2"/>
      <scheme val="minor"/>
    </font>
    <font>
      <sz val="10"/>
      <color rgb="FF666666"/>
      <name val="Calibri"/>
      <family val="2"/>
      <scheme val="minor"/>
    </font>
    <font>
      <sz val="11"/>
      <color rgb="FF0000FF"/>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14" fontId="3" fillId="0" borderId="0" xfId="0" applyNumberFormat="1" applyFont="1"/>
    <xf numFmtId="0" fontId="3" fillId="0" borderId="0" xfId="0" applyFont="1"/>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4</xdr:col>
      <xdr:colOff>495300</xdr:colOff>
      <xdr:row>3</xdr:row>
      <xdr:rowOff>1095375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571500"/>
          <a:ext cx="10287000" cy="1095375"/>
        </a:xfrm>
        <a:prstGeom prst="rect">
          <a:avLst/>
        </a:prstGeom>
        <a:solidFill>
          <a:srgbClr val="EAF3F8"/>
        </a:solidFill>
        <a:ln w="15875" cmpd="sng">
          <a:solidFill>
            <a:srgbClr val="9ECAE1"/>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a:latin typeface="Aptos"/>
              <a:cs typeface="Aptos"/>
            </a:rPr>
            <a:t>Purpose: Capture the business team's expected decision for each AP inbox email so the AI agent can be tested against the current manual process.</a:t>
          </a:r>
        </a:p>
        <a:p>
          <a:endParaRPr lang="en-US" sz="1000">
            <a:latin typeface="Aptos"/>
            <a:cs typeface="Aptos"/>
          </a:endParaRPr>
        </a:p>
        <a:p>
          <a:r>
            <a:rPr lang="en-US" sz="1000">
              <a:latin typeface="Aptos"/>
              <a:cs typeface="Aptos"/>
            </a:rPr>
            <a:t>What to do: For each test email, enter the email date and title, then select the expected Action and Reason from the dropdown lists. Choose the action the team would take today, not what the AI actually did.</a:t>
          </a:r>
        </a:p>
        <a:p>
          <a:endParaRPr lang="en-US" sz="1000">
            <a:latin typeface="Aptos"/>
            <a:cs typeface="Aptos"/>
          </a:endParaRPr>
        </a:p>
        <a:p>
          <a:r>
            <a:rPr lang="en-US" sz="1000">
              <a:latin typeface="Aptos"/>
              <a:cs typeface="Aptos"/>
            </a:rPr>
            <a:t>How this will be used: The same emails will be processed by the AI agent later. Expected Action and Reason from this sheet will be compared to the AI output to measure routing accuracy, exception handling, and automation readiness.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aluation_Table" displayName="Evaluation_Table" ref="A12:K162" totalsRowShown="0">
  <autoFilter ref="A12:K162" xr:uid="{00000000-0009-0000-0100-000001000000}"/>
  <tableColumns count="11">
    <tableColumn id="1" xr3:uid="{00000000-0010-0000-0000-000001000000}" name="Date"/>
    <tableColumn id="2" xr3:uid="{00000000-0010-0000-0000-000002000000}" name="Email Title"/>
    <tableColumn id="3" xr3:uid="{00000000-0010-0000-0000-000003000000}" name="Action"/>
    <tableColumn id="4" xr3:uid="{00000000-0010-0000-0000-000004000000}" name="Reason"/>
    <tableColumn id="5" xr3:uid="{8E10D0EF-4E63-49EE-BBFE-93F83E5760C0}" name="Column1"/>
    <tableColumn id="6" xr3:uid="{A16799A2-59D8-4E82-9115-B1B1B2F1F045}" name="Column2"/>
    <tableColumn id="7" xr3:uid="{183D13A4-942C-4BBD-A894-08123AEE6520}" name="Column3"/>
    <tableColumn id="8" xr3:uid="{5A86D99E-75E4-4067-AC10-005FBFFE21DF}" name="Column4"/>
    <tableColumn id="9" xr3:uid="{4766427D-0739-4E27-9019-CC9A1253C653}" name="Column5"/>
    <tableColumn id="10" xr3:uid="{0C4DFF69-8BCC-4846-A6F4-1A78770F8CD4}" name="Column6"/>
    <tableColumn id="11" xr3:uid="{E21B04F8-C068-4418-B12B-9813658899E6}" name="Column7"/>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62"/>
  <sheetViews>
    <sheetView showGridLines="0" tabSelected="1" workbookViewId="0">
      <pane ySplit="12" topLeftCell="A19" activePane="bottomLeft" state="frozen"/>
      <selection pane="bottomLeft" activeCell="D39" sqref="D39"/>
    </sheetView>
  </sheetViews>
  <sheetFormatPr defaultRowHeight="14.25" x14ac:dyDescent="0.45"/>
  <cols>
    <col min="1" max="1" width="14.73046875" customWidth="1"/>
    <col min="2" max="2" width="44.73046875" customWidth="1"/>
    <col min="3" max="3" width="38.73046875" customWidth="1"/>
    <col min="4" max="4" width="48.73046875" customWidth="1"/>
  </cols>
  <sheetData>
    <row r="1" spans="1:11" ht="21" x14ac:dyDescent="0.65">
      <c r="A1" s="1" t="s">
        <v>24</v>
      </c>
    </row>
    <row r="2" spans="1:11" x14ac:dyDescent="0.45">
      <c r="A2" s="2" t="s">
        <v>25</v>
      </c>
    </row>
    <row r="4" spans="1:11" ht="95" customHeight="1" x14ac:dyDescent="0.45"/>
    <row r="12" spans="1:11" x14ac:dyDescent="0.45">
      <c r="A12" t="s">
        <v>33</v>
      </c>
      <c r="B12" t="s">
        <v>34</v>
      </c>
      <c r="C12" t="s">
        <v>35</v>
      </c>
      <c r="D12" t="s">
        <v>36</v>
      </c>
      <c r="E12" t="s">
        <v>39</v>
      </c>
      <c r="F12" t="s">
        <v>41</v>
      </c>
      <c r="G12" t="s">
        <v>43</v>
      </c>
      <c r="H12" t="s">
        <v>45</v>
      </c>
      <c r="I12" t="s">
        <v>47</v>
      </c>
      <c r="J12" t="s">
        <v>49</v>
      </c>
      <c r="K12" t="s">
        <v>52</v>
      </c>
    </row>
    <row r="13" spans="1:11" x14ac:dyDescent="0.45">
      <c r="A13" s="3">
        <v>46113</v>
      </c>
      <c r="B13" s="4" t="s">
        <v>26</v>
      </c>
      <c r="C13" s="4" t="s">
        <v>1</v>
      </c>
      <c r="D13" s="4" t="s">
        <v>11</v>
      </c>
    </row>
    <row r="14" spans="1:11" x14ac:dyDescent="0.45">
      <c r="A14" s="3">
        <v>46114</v>
      </c>
      <c r="B14" s="4" t="s">
        <v>27</v>
      </c>
      <c r="C14" s="4" t="s">
        <v>0</v>
      </c>
      <c r="D14" s="4" t="s">
        <v>10</v>
      </c>
    </row>
    <row r="15" spans="1:11" x14ac:dyDescent="0.45">
      <c r="A15" s="3">
        <v>46115</v>
      </c>
      <c r="B15" s="4" t="s">
        <v>28</v>
      </c>
      <c r="C15" s="4" t="s">
        <v>3</v>
      </c>
      <c r="D15" s="4" t="s">
        <v>13</v>
      </c>
    </row>
    <row r="16" spans="1:11" x14ac:dyDescent="0.45">
      <c r="A16" s="3">
        <v>46116</v>
      </c>
      <c r="B16" s="4" t="s">
        <v>29</v>
      </c>
      <c r="C16" s="4" t="s">
        <v>6</v>
      </c>
      <c r="D16" s="4" t="s">
        <v>20</v>
      </c>
    </row>
    <row r="17" spans="1:7" x14ac:dyDescent="0.45">
      <c r="A17" s="3">
        <v>46117</v>
      </c>
      <c r="B17" s="4" t="s">
        <v>30</v>
      </c>
      <c r="C17" s="4" t="s">
        <v>5</v>
      </c>
      <c r="D17" s="4" t="s">
        <v>16</v>
      </c>
    </row>
    <row r="18" spans="1:7" x14ac:dyDescent="0.45">
      <c r="A18" s="3">
        <v>46118</v>
      </c>
      <c r="B18" s="4" t="s">
        <v>31</v>
      </c>
      <c r="C18" s="4" t="s">
        <v>3</v>
      </c>
      <c r="D18" s="4" t="s">
        <v>14</v>
      </c>
    </row>
    <row r="19" spans="1:7" x14ac:dyDescent="0.45">
      <c r="A19" s="3">
        <v>46119</v>
      </c>
      <c r="B19" s="4" t="s">
        <v>32</v>
      </c>
      <c r="C19" s="4" t="s">
        <v>4</v>
      </c>
      <c r="D19" s="4" t="s">
        <v>15</v>
      </c>
    </row>
    <row r="20" spans="1:7" x14ac:dyDescent="0.45">
      <c r="A20" s="3"/>
      <c r="B20" s="4"/>
      <c r="C20" s="4"/>
      <c r="D20" s="4"/>
    </row>
    <row r="21" spans="1:7" x14ac:dyDescent="0.45">
      <c r="A21" s="3">
        <v>46153</v>
      </c>
      <c r="B21" s="4" t="s">
        <v>71</v>
      </c>
      <c r="C21" s="4" t="s">
        <v>3</v>
      </c>
      <c r="D21" s="4" t="s">
        <v>15</v>
      </c>
      <c r="E21" s="6" t="s">
        <v>83</v>
      </c>
    </row>
    <row r="22" spans="1:7" x14ac:dyDescent="0.45">
      <c r="A22" s="3">
        <v>46153</v>
      </c>
      <c r="B22" s="4" t="s">
        <v>78</v>
      </c>
      <c r="C22" s="4" t="s">
        <v>0</v>
      </c>
      <c r="D22" s="4" t="s">
        <v>10</v>
      </c>
      <c r="E22" s="5" t="s">
        <v>87</v>
      </c>
    </row>
    <row r="23" spans="1:7" x14ac:dyDescent="0.45">
      <c r="A23" s="3">
        <v>46153</v>
      </c>
      <c r="B23" s="4" t="s">
        <v>72</v>
      </c>
      <c r="C23" s="4" t="s">
        <v>0</v>
      </c>
      <c r="D23" s="4" t="s">
        <v>10</v>
      </c>
      <c r="E23" s="6" t="s">
        <v>83</v>
      </c>
    </row>
    <row r="24" spans="1:7" x14ac:dyDescent="0.45">
      <c r="A24" s="3">
        <v>46153</v>
      </c>
      <c r="B24" s="4" t="s">
        <v>67</v>
      </c>
      <c r="C24" s="4" t="s">
        <v>1</v>
      </c>
      <c r="D24" s="4" t="s">
        <v>11</v>
      </c>
      <c r="E24" s="5" t="s">
        <v>92</v>
      </c>
    </row>
    <row r="25" spans="1:7" x14ac:dyDescent="0.45">
      <c r="A25" s="3">
        <v>46153</v>
      </c>
      <c r="B25" s="4" t="s">
        <v>70</v>
      </c>
      <c r="C25" s="4" t="s">
        <v>1</v>
      </c>
      <c r="D25" s="4" t="s">
        <v>11</v>
      </c>
      <c r="E25" s="6" t="s">
        <v>83</v>
      </c>
    </row>
    <row r="26" spans="1:7" x14ac:dyDescent="0.45">
      <c r="A26" s="3">
        <v>46153</v>
      </c>
      <c r="B26" s="4" t="s">
        <v>37</v>
      </c>
      <c r="C26" s="4" t="s">
        <v>5</v>
      </c>
      <c r="D26" s="4" t="s">
        <v>10</v>
      </c>
      <c r="E26" s="6" t="s">
        <v>83</v>
      </c>
    </row>
    <row r="27" spans="1:7" x14ac:dyDescent="0.45">
      <c r="A27" s="3">
        <v>46153</v>
      </c>
      <c r="B27" s="4" t="s">
        <v>61</v>
      </c>
      <c r="C27" s="4" t="s">
        <v>0</v>
      </c>
      <c r="D27" s="4" t="s">
        <v>10</v>
      </c>
      <c r="E27" s="5" t="s">
        <v>93</v>
      </c>
    </row>
    <row r="28" spans="1:7" x14ac:dyDescent="0.45">
      <c r="A28" s="3">
        <v>46153</v>
      </c>
      <c r="B28" s="4" t="s">
        <v>63</v>
      </c>
      <c r="C28" s="4" t="s">
        <v>0</v>
      </c>
      <c r="D28" s="4" t="s">
        <v>10</v>
      </c>
      <c r="E28" s="7" t="s">
        <v>94</v>
      </c>
    </row>
    <row r="29" spans="1:7" x14ac:dyDescent="0.45">
      <c r="A29" s="3">
        <v>46153</v>
      </c>
      <c r="B29" s="4" t="s">
        <v>58</v>
      </c>
      <c r="C29" s="4" t="s">
        <v>1</v>
      </c>
      <c r="D29" s="4" t="s">
        <v>11</v>
      </c>
      <c r="E29" s="6" t="s">
        <v>83</v>
      </c>
    </row>
    <row r="30" spans="1:7" x14ac:dyDescent="0.45">
      <c r="A30" s="3">
        <v>46153</v>
      </c>
      <c r="B30" s="4" t="s">
        <v>57</v>
      </c>
      <c r="C30" s="4" t="s">
        <v>1</v>
      </c>
      <c r="D30" s="4" t="s">
        <v>11</v>
      </c>
      <c r="E30" s="6" t="s">
        <v>83</v>
      </c>
    </row>
    <row r="31" spans="1:7" x14ac:dyDescent="0.45">
      <c r="A31" s="3">
        <v>46153</v>
      </c>
      <c r="B31" s="4" t="s">
        <v>65</v>
      </c>
      <c r="C31" s="4" t="s">
        <v>6</v>
      </c>
      <c r="D31" s="4" t="s">
        <v>16</v>
      </c>
      <c r="E31" s="5" t="s">
        <v>95</v>
      </c>
    </row>
    <row r="32" spans="1:7" x14ac:dyDescent="0.45">
      <c r="A32" s="3">
        <v>46153</v>
      </c>
      <c r="B32" s="4" t="s">
        <v>76</v>
      </c>
      <c r="C32" s="4" t="s">
        <v>1</v>
      </c>
      <c r="D32" s="4" t="s">
        <v>15</v>
      </c>
      <c r="E32" s="6" t="s">
        <v>83</v>
      </c>
      <c r="G32" t="s">
        <v>38</v>
      </c>
    </row>
    <row r="33" spans="1:9" x14ac:dyDescent="0.45">
      <c r="A33" s="3">
        <v>46153</v>
      </c>
      <c r="B33" s="4" t="s">
        <v>56</v>
      </c>
      <c r="C33" s="4" t="s">
        <v>5</v>
      </c>
      <c r="D33" s="4" t="s">
        <v>20</v>
      </c>
      <c r="E33" s="6" t="s">
        <v>83</v>
      </c>
    </row>
    <row r="34" spans="1:9" x14ac:dyDescent="0.45">
      <c r="A34" s="3">
        <v>46153</v>
      </c>
      <c r="B34" s="4" t="s">
        <v>79</v>
      </c>
      <c r="C34" s="4" t="s">
        <v>3</v>
      </c>
      <c r="D34" s="4" t="s">
        <v>15</v>
      </c>
      <c r="E34" s="5" t="s">
        <v>86</v>
      </c>
    </row>
    <row r="35" spans="1:9" x14ac:dyDescent="0.45">
      <c r="A35" s="3">
        <v>46153</v>
      </c>
      <c r="B35" s="4" t="s">
        <v>55</v>
      </c>
      <c r="C35" s="4" t="s">
        <v>6</v>
      </c>
      <c r="D35" s="4" t="s">
        <v>20</v>
      </c>
      <c r="E35" s="6" t="s">
        <v>83</v>
      </c>
    </row>
    <row r="36" spans="1:9" x14ac:dyDescent="0.45">
      <c r="A36" s="3">
        <v>46153</v>
      </c>
      <c r="B36" s="4" t="s">
        <v>62</v>
      </c>
      <c r="C36" s="4" t="s">
        <v>6</v>
      </c>
      <c r="D36" s="4" t="s">
        <v>20</v>
      </c>
      <c r="E36" s="6" t="s">
        <v>83</v>
      </c>
    </row>
    <row r="37" spans="1:9" x14ac:dyDescent="0.45">
      <c r="A37" s="3">
        <v>46153</v>
      </c>
      <c r="B37" s="4" t="s">
        <v>74</v>
      </c>
      <c r="C37" s="4" t="s">
        <v>5</v>
      </c>
      <c r="D37" s="4" t="s">
        <v>18</v>
      </c>
      <c r="E37" s="6" t="s">
        <v>83</v>
      </c>
    </row>
    <row r="38" spans="1:9" x14ac:dyDescent="0.45">
      <c r="A38" s="3">
        <v>46153</v>
      </c>
      <c r="B38" s="4" t="s">
        <v>73</v>
      </c>
      <c r="C38" s="4" t="s">
        <v>5</v>
      </c>
      <c r="D38" s="4" t="s">
        <v>17</v>
      </c>
      <c r="E38" s="7" t="s">
        <v>90</v>
      </c>
      <c r="G38" t="s">
        <v>40</v>
      </c>
    </row>
    <row r="39" spans="1:9" x14ac:dyDescent="0.45">
      <c r="A39" s="3">
        <v>46153</v>
      </c>
      <c r="B39" s="4" t="s">
        <v>81</v>
      </c>
      <c r="C39" s="4" t="s">
        <v>4</v>
      </c>
      <c r="D39" s="4"/>
      <c r="E39" s="5" t="s">
        <v>84</v>
      </c>
      <c r="G39" t="s">
        <v>42</v>
      </c>
    </row>
    <row r="40" spans="1:9" x14ac:dyDescent="0.45">
      <c r="A40" s="3">
        <v>46153</v>
      </c>
      <c r="B40" s="4" t="s">
        <v>53</v>
      </c>
      <c r="C40" s="4" t="s">
        <v>3</v>
      </c>
      <c r="D40" s="4" t="s">
        <v>13</v>
      </c>
      <c r="E40" s="6" t="s">
        <v>83</v>
      </c>
    </row>
    <row r="41" spans="1:9" x14ac:dyDescent="0.45">
      <c r="A41" s="3">
        <v>46153</v>
      </c>
      <c r="B41" s="4" t="s">
        <v>68</v>
      </c>
      <c r="C41" s="4" t="s">
        <v>5</v>
      </c>
      <c r="D41" s="4" t="s">
        <v>18</v>
      </c>
      <c r="E41" s="6" t="s">
        <v>83</v>
      </c>
    </row>
    <row r="42" spans="1:9" x14ac:dyDescent="0.45">
      <c r="A42" s="3">
        <v>46153</v>
      </c>
      <c r="B42" s="4" t="s">
        <v>82</v>
      </c>
      <c r="C42" s="4" t="s">
        <v>1</v>
      </c>
      <c r="D42" s="4"/>
      <c r="E42" s="6" t="s">
        <v>83</v>
      </c>
      <c r="H42" t="s">
        <v>44</v>
      </c>
    </row>
    <row r="43" spans="1:9" x14ac:dyDescent="0.45">
      <c r="A43" s="3">
        <v>46153</v>
      </c>
      <c r="B43" s="4" t="s">
        <v>54</v>
      </c>
      <c r="C43" s="4" t="s">
        <v>1</v>
      </c>
      <c r="D43" s="4" t="s">
        <v>14</v>
      </c>
      <c r="E43" s="7" t="s">
        <v>96</v>
      </c>
    </row>
    <row r="44" spans="1:9" x14ac:dyDescent="0.45">
      <c r="A44" s="3">
        <v>46153</v>
      </c>
      <c r="B44" s="4" t="s">
        <v>80</v>
      </c>
      <c r="C44" s="4" t="s">
        <v>5</v>
      </c>
      <c r="D44" s="4" t="s">
        <v>18</v>
      </c>
      <c r="E44" s="5" t="s">
        <v>85</v>
      </c>
    </row>
    <row r="45" spans="1:9" x14ac:dyDescent="0.45">
      <c r="A45" s="3">
        <v>46153</v>
      </c>
      <c r="B45" s="4" t="s">
        <v>69</v>
      </c>
      <c r="C45" s="4" t="s">
        <v>0</v>
      </c>
      <c r="D45" s="4" t="s">
        <v>10</v>
      </c>
      <c r="E45" s="5" t="s">
        <v>91</v>
      </c>
      <c r="I45" t="s">
        <v>46</v>
      </c>
    </row>
    <row r="46" spans="1:9" x14ac:dyDescent="0.45">
      <c r="A46" s="3">
        <v>46149</v>
      </c>
      <c r="B46" s="4" t="s">
        <v>59</v>
      </c>
      <c r="C46" s="4" t="s">
        <v>3</v>
      </c>
      <c r="D46" s="4"/>
      <c r="E46" s="6" t="s">
        <v>83</v>
      </c>
    </row>
    <row r="47" spans="1:9" x14ac:dyDescent="0.45">
      <c r="A47" s="3">
        <v>46150</v>
      </c>
      <c r="B47" s="4" t="s">
        <v>66</v>
      </c>
      <c r="C47" s="4" t="s">
        <v>1</v>
      </c>
      <c r="D47" s="4" t="s">
        <v>11</v>
      </c>
      <c r="E47" s="6" t="s">
        <v>83</v>
      </c>
    </row>
    <row r="48" spans="1:9" x14ac:dyDescent="0.45">
      <c r="A48" s="3">
        <v>46150</v>
      </c>
      <c r="B48" s="4" t="s">
        <v>75</v>
      </c>
      <c r="C48" s="4" t="s">
        <v>1</v>
      </c>
      <c r="D48" s="4" t="s">
        <v>20</v>
      </c>
      <c r="E48" s="7" t="s">
        <v>89</v>
      </c>
    </row>
    <row r="49" spans="1:11" x14ac:dyDescent="0.45">
      <c r="A49" s="3">
        <v>46150</v>
      </c>
      <c r="B49" s="4" t="s">
        <v>77</v>
      </c>
      <c r="C49" s="4" t="s">
        <v>0</v>
      </c>
      <c r="D49" s="4" t="s">
        <v>10</v>
      </c>
      <c r="E49" s="7" t="s">
        <v>88</v>
      </c>
      <c r="J49" t="s">
        <v>48</v>
      </c>
    </row>
    <row r="50" spans="1:11" x14ac:dyDescent="0.45">
      <c r="A50" s="3">
        <v>46150</v>
      </c>
      <c r="B50" s="4" t="s">
        <v>60</v>
      </c>
      <c r="C50" s="4" t="s">
        <v>3</v>
      </c>
      <c r="D50" s="4" t="s">
        <v>13</v>
      </c>
      <c r="E50" s="6" t="s">
        <v>83</v>
      </c>
    </row>
    <row r="51" spans="1:11" x14ac:dyDescent="0.45">
      <c r="A51" s="3">
        <v>46147</v>
      </c>
      <c r="B51" s="4" t="s">
        <v>50</v>
      </c>
      <c r="C51" s="4" t="s">
        <v>5</v>
      </c>
      <c r="D51" s="4" t="s">
        <v>19</v>
      </c>
      <c r="E51" s="6" t="s">
        <v>83</v>
      </c>
      <c r="K51" t="s">
        <v>51</v>
      </c>
    </row>
    <row r="52" spans="1:11" x14ac:dyDescent="0.45">
      <c r="A52" s="3">
        <v>46150</v>
      </c>
      <c r="B52" s="4" t="s">
        <v>64</v>
      </c>
      <c r="C52" s="4" t="s">
        <v>5</v>
      </c>
      <c r="D52" s="4" t="s">
        <v>19</v>
      </c>
      <c r="E52" s="6" t="s">
        <v>83</v>
      </c>
    </row>
    <row r="53" spans="1:11" x14ac:dyDescent="0.45">
      <c r="A53" s="3"/>
      <c r="B53" s="4"/>
      <c r="C53" s="4"/>
      <c r="D53" s="4"/>
    </row>
    <row r="54" spans="1:11" x14ac:dyDescent="0.45">
      <c r="A54" s="3"/>
      <c r="B54" s="4"/>
      <c r="C54" s="4"/>
      <c r="D54" s="4"/>
    </row>
    <row r="55" spans="1:11" x14ac:dyDescent="0.45">
      <c r="A55" s="3"/>
      <c r="B55" s="4"/>
      <c r="C55" s="4"/>
      <c r="D55" s="4"/>
      <c r="E55">
        <f>20/32</f>
        <v>0.625</v>
      </c>
      <c r="F55">
        <f>5/30</f>
        <v>0.16666666666666666</v>
      </c>
    </row>
    <row r="56" spans="1:11" x14ac:dyDescent="0.45">
      <c r="A56" s="3"/>
      <c r="B56" s="4"/>
      <c r="C56" s="4"/>
      <c r="D56" s="4"/>
    </row>
    <row r="57" spans="1:11" x14ac:dyDescent="0.45">
      <c r="A57" s="3"/>
      <c r="B57" s="4"/>
      <c r="C57" s="4"/>
      <c r="D57" s="4"/>
    </row>
    <row r="58" spans="1:11" x14ac:dyDescent="0.45">
      <c r="A58" s="3"/>
      <c r="B58" s="4"/>
      <c r="C58" s="4"/>
      <c r="D58" s="4"/>
    </row>
    <row r="59" spans="1:11" x14ac:dyDescent="0.45">
      <c r="A59" s="3"/>
      <c r="B59" s="4"/>
      <c r="C59" s="4"/>
      <c r="D59" s="4"/>
    </row>
    <row r="60" spans="1:11" x14ac:dyDescent="0.45">
      <c r="A60" s="3"/>
      <c r="B60" s="4"/>
      <c r="C60" s="4"/>
      <c r="D60" s="4"/>
    </row>
    <row r="61" spans="1:11" x14ac:dyDescent="0.45">
      <c r="A61" s="3"/>
      <c r="B61" s="4"/>
      <c r="C61" s="4"/>
      <c r="D61" s="4"/>
    </row>
    <row r="62" spans="1:11" x14ac:dyDescent="0.45">
      <c r="A62" s="3"/>
      <c r="B62" s="4"/>
      <c r="C62" s="4"/>
      <c r="D62" s="4"/>
    </row>
    <row r="63" spans="1:11" x14ac:dyDescent="0.45">
      <c r="A63" s="3"/>
      <c r="B63" s="4"/>
      <c r="C63" s="4"/>
      <c r="D63" s="4"/>
    </row>
    <row r="64" spans="1:11" x14ac:dyDescent="0.45">
      <c r="A64" s="3"/>
      <c r="B64" s="4"/>
      <c r="C64" s="4"/>
      <c r="D64" s="4"/>
    </row>
    <row r="65" spans="1:4" x14ac:dyDescent="0.45">
      <c r="A65" s="3"/>
      <c r="B65" s="4"/>
      <c r="C65" s="4"/>
      <c r="D65" s="4"/>
    </row>
    <row r="66" spans="1:4" x14ac:dyDescent="0.45">
      <c r="A66" s="3"/>
      <c r="B66" s="4"/>
      <c r="C66" s="4"/>
      <c r="D66" s="4"/>
    </row>
    <row r="67" spans="1:4" x14ac:dyDescent="0.45">
      <c r="A67" s="3"/>
      <c r="B67" s="4"/>
      <c r="C67" s="4"/>
      <c r="D67" s="4"/>
    </row>
    <row r="68" spans="1:4" x14ac:dyDescent="0.45">
      <c r="A68" s="3"/>
      <c r="B68" s="4"/>
      <c r="C68" s="4"/>
      <c r="D68" s="4"/>
    </row>
    <row r="69" spans="1:4" x14ac:dyDescent="0.45">
      <c r="A69" s="3"/>
      <c r="B69" s="4"/>
      <c r="C69" s="4"/>
      <c r="D69" s="4"/>
    </row>
    <row r="70" spans="1:4" x14ac:dyDescent="0.45">
      <c r="A70" s="3"/>
      <c r="B70" s="4"/>
      <c r="C70" s="4"/>
      <c r="D70" s="4"/>
    </row>
    <row r="71" spans="1:4" x14ac:dyDescent="0.45">
      <c r="A71" s="3"/>
      <c r="B71" s="4"/>
      <c r="C71" s="4"/>
      <c r="D71" s="4"/>
    </row>
    <row r="72" spans="1:4" x14ac:dyDescent="0.45">
      <c r="A72" s="3"/>
      <c r="B72" s="4"/>
      <c r="C72" s="4"/>
      <c r="D72" s="4"/>
    </row>
    <row r="73" spans="1:4" x14ac:dyDescent="0.45">
      <c r="A73" s="3"/>
      <c r="B73" s="4"/>
      <c r="C73" s="4"/>
      <c r="D73" s="4"/>
    </row>
    <row r="74" spans="1:4" x14ac:dyDescent="0.45">
      <c r="A74" s="3"/>
      <c r="B74" s="4"/>
      <c r="C74" s="4"/>
      <c r="D74" s="4"/>
    </row>
    <row r="75" spans="1:4" x14ac:dyDescent="0.45">
      <c r="A75" s="3"/>
      <c r="B75" s="4"/>
      <c r="C75" s="4"/>
      <c r="D75" s="4"/>
    </row>
    <row r="76" spans="1:4" x14ac:dyDescent="0.45">
      <c r="A76" s="3"/>
      <c r="B76" s="4"/>
      <c r="C76" s="4"/>
      <c r="D76" s="4"/>
    </row>
    <row r="77" spans="1:4" x14ac:dyDescent="0.45">
      <c r="A77" s="3"/>
      <c r="B77" s="4"/>
      <c r="C77" s="4"/>
      <c r="D77" s="4"/>
    </row>
    <row r="78" spans="1:4" x14ac:dyDescent="0.45">
      <c r="A78" s="3"/>
      <c r="B78" s="4"/>
      <c r="C78" s="4"/>
      <c r="D78" s="4"/>
    </row>
    <row r="79" spans="1:4" x14ac:dyDescent="0.45">
      <c r="A79" s="3"/>
      <c r="B79" s="4"/>
      <c r="C79" s="4"/>
      <c r="D79" s="4"/>
    </row>
    <row r="80" spans="1:4" x14ac:dyDescent="0.45">
      <c r="A80" s="3"/>
      <c r="B80" s="4"/>
      <c r="C80" s="4"/>
      <c r="D80" s="4"/>
    </row>
    <row r="81" spans="1:4" x14ac:dyDescent="0.45">
      <c r="A81" s="3"/>
      <c r="B81" s="4"/>
      <c r="C81" s="4"/>
      <c r="D81" s="4"/>
    </row>
    <row r="82" spans="1:4" x14ac:dyDescent="0.45">
      <c r="A82" s="3"/>
      <c r="B82" s="4"/>
      <c r="C82" s="4"/>
      <c r="D82" s="4"/>
    </row>
    <row r="83" spans="1:4" x14ac:dyDescent="0.45">
      <c r="A83" s="3"/>
      <c r="B83" s="4"/>
      <c r="C83" s="4"/>
      <c r="D83" s="4"/>
    </row>
    <row r="84" spans="1:4" x14ac:dyDescent="0.45">
      <c r="A84" s="3"/>
      <c r="B84" s="4"/>
      <c r="C84" s="4"/>
      <c r="D84" s="4"/>
    </row>
    <row r="85" spans="1:4" x14ac:dyDescent="0.45">
      <c r="A85" s="3"/>
      <c r="B85" s="4"/>
      <c r="C85" s="4"/>
      <c r="D85" s="4"/>
    </row>
    <row r="86" spans="1:4" x14ac:dyDescent="0.45">
      <c r="A86" s="3"/>
      <c r="B86" s="4"/>
      <c r="C86" s="4"/>
      <c r="D86" s="4"/>
    </row>
    <row r="87" spans="1:4" x14ac:dyDescent="0.45">
      <c r="A87" s="3"/>
      <c r="B87" s="4"/>
      <c r="C87" s="4"/>
      <c r="D87" s="4"/>
    </row>
    <row r="88" spans="1:4" x14ac:dyDescent="0.45">
      <c r="A88" s="3"/>
      <c r="B88" s="4"/>
      <c r="C88" s="4"/>
      <c r="D88" s="4"/>
    </row>
    <row r="89" spans="1:4" x14ac:dyDescent="0.45">
      <c r="A89" s="3"/>
      <c r="B89" s="4"/>
      <c r="C89" s="4"/>
      <c r="D89" s="4"/>
    </row>
    <row r="90" spans="1:4" x14ac:dyDescent="0.45">
      <c r="A90" s="3"/>
      <c r="B90" s="4"/>
      <c r="C90" s="4"/>
      <c r="D90" s="4"/>
    </row>
    <row r="91" spans="1:4" x14ac:dyDescent="0.45">
      <c r="A91" s="3"/>
      <c r="B91" s="4"/>
      <c r="C91" s="4"/>
      <c r="D91" s="4"/>
    </row>
    <row r="92" spans="1:4" x14ac:dyDescent="0.45">
      <c r="A92" s="3"/>
      <c r="B92" s="4"/>
      <c r="C92" s="4"/>
      <c r="D92" s="4"/>
    </row>
    <row r="93" spans="1:4" x14ac:dyDescent="0.45">
      <c r="A93" s="3"/>
      <c r="B93" s="4"/>
      <c r="C93" s="4"/>
      <c r="D93" s="4"/>
    </row>
    <row r="94" spans="1:4" x14ac:dyDescent="0.45">
      <c r="A94" s="3"/>
      <c r="B94" s="4"/>
      <c r="C94" s="4"/>
      <c r="D94" s="4"/>
    </row>
    <row r="95" spans="1:4" x14ac:dyDescent="0.45">
      <c r="A95" s="3"/>
      <c r="B95" s="4"/>
      <c r="C95" s="4"/>
      <c r="D95" s="4"/>
    </row>
    <row r="96" spans="1:4" x14ac:dyDescent="0.45">
      <c r="A96" s="3"/>
      <c r="B96" s="4"/>
      <c r="C96" s="4"/>
      <c r="D96" s="4"/>
    </row>
    <row r="97" spans="1:4" x14ac:dyDescent="0.45">
      <c r="A97" s="3"/>
      <c r="B97" s="4"/>
      <c r="C97" s="4"/>
      <c r="D97" s="4"/>
    </row>
    <row r="98" spans="1:4" x14ac:dyDescent="0.45">
      <c r="A98" s="3"/>
      <c r="B98" s="4"/>
      <c r="C98" s="4"/>
      <c r="D98" s="4"/>
    </row>
    <row r="99" spans="1:4" x14ac:dyDescent="0.45">
      <c r="A99" s="3"/>
      <c r="B99" s="4"/>
      <c r="C99" s="4"/>
      <c r="D99" s="4"/>
    </row>
    <row r="100" spans="1:4" x14ac:dyDescent="0.45">
      <c r="A100" s="3"/>
      <c r="B100" s="4"/>
      <c r="C100" s="4"/>
      <c r="D100" s="4"/>
    </row>
    <row r="101" spans="1:4" x14ac:dyDescent="0.45">
      <c r="A101" s="3"/>
      <c r="B101" s="4"/>
      <c r="C101" s="4"/>
      <c r="D101" s="4"/>
    </row>
    <row r="102" spans="1:4" x14ac:dyDescent="0.45">
      <c r="A102" s="3"/>
      <c r="B102" s="4"/>
      <c r="C102" s="4"/>
      <c r="D102" s="4"/>
    </row>
    <row r="103" spans="1:4" x14ac:dyDescent="0.45">
      <c r="A103" s="3"/>
      <c r="B103" s="4"/>
      <c r="C103" s="4"/>
      <c r="D103" s="4"/>
    </row>
    <row r="104" spans="1:4" x14ac:dyDescent="0.45">
      <c r="A104" s="3"/>
      <c r="B104" s="4"/>
      <c r="C104" s="4"/>
      <c r="D104" s="4"/>
    </row>
    <row r="105" spans="1:4" x14ac:dyDescent="0.45">
      <c r="A105" s="3"/>
      <c r="B105" s="4"/>
      <c r="C105" s="4"/>
      <c r="D105" s="4"/>
    </row>
    <row r="106" spans="1:4" x14ac:dyDescent="0.45">
      <c r="A106" s="3"/>
      <c r="B106" s="4"/>
      <c r="C106" s="4"/>
      <c r="D106" s="4"/>
    </row>
    <row r="107" spans="1:4" x14ac:dyDescent="0.45">
      <c r="A107" s="3"/>
      <c r="B107" s="4"/>
      <c r="C107" s="4"/>
      <c r="D107" s="4"/>
    </row>
    <row r="108" spans="1:4" x14ac:dyDescent="0.45">
      <c r="A108" s="3"/>
      <c r="B108" s="4"/>
      <c r="C108" s="4"/>
      <c r="D108" s="4"/>
    </row>
    <row r="109" spans="1:4" x14ac:dyDescent="0.45">
      <c r="A109" s="3"/>
      <c r="B109" s="4"/>
      <c r="C109" s="4"/>
      <c r="D109" s="4"/>
    </row>
    <row r="110" spans="1:4" x14ac:dyDescent="0.45">
      <c r="A110" s="3"/>
      <c r="B110" s="4"/>
      <c r="C110" s="4"/>
      <c r="D110" s="4"/>
    </row>
    <row r="111" spans="1:4" x14ac:dyDescent="0.45">
      <c r="A111" s="3"/>
      <c r="B111" s="4"/>
      <c r="C111" s="4"/>
      <c r="D111" s="4"/>
    </row>
    <row r="112" spans="1:4" x14ac:dyDescent="0.45">
      <c r="A112" s="3"/>
      <c r="B112" s="4"/>
      <c r="C112" s="4"/>
      <c r="D112" s="4"/>
    </row>
    <row r="113" spans="1:4" x14ac:dyDescent="0.45">
      <c r="A113" s="3"/>
      <c r="B113" s="4"/>
      <c r="C113" s="4"/>
      <c r="D113" s="4"/>
    </row>
    <row r="114" spans="1:4" x14ac:dyDescent="0.45">
      <c r="A114" s="3"/>
      <c r="B114" s="4"/>
      <c r="C114" s="4"/>
      <c r="D114" s="4"/>
    </row>
    <row r="115" spans="1:4" x14ac:dyDescent="0.45">
      <c r="A115" s="3"/>
      <c r="B115" s="4"/>
      <c r="C115" s="4"/>
      <c r="D115" s="4"/>
    </row>
    <row r="116" spans="1:4" x14ac:dyDescent="0.45">
      <c r="A116" s="3"/>
      <c r="B116" s="4"/>
      <c r="C116" s="4"/>
      <c r="D116" s="4"/>
    </row>
    <row r="117" spans="1:4" x14ac:dyDescent="0.45">
      <c r="A117" s="3"/>
      <c r="B117" s="4"/>
      <c r="C117" s="4"/>
      <c r="D117" s="4"/>
    </row>
    <row r="118" spans="1:4" x14ac:dyDescent="0.45">
      <c r="A118" s="3"/>
      <c r="B118" s="4"/>
      <c r="C118" s="4"/>
      <c r="D118" s="4"/>
    </row>
    <row r="119" spans="1:4" x14ac:dyDescent="0.45">
      <c r="A119" s="3"/>
      <c r="B119" s="4"/>
      <c r="C119" s="4"/>
      <c r="D119" s="4"/>
    </row>
    <row r="120" spans="1:4" x14ac:dyDescent="0.45">
      <c r="A120" s="3"/>
      <c r="B120" s="4"/>
      <c r="C120" s="4"/>
      <c r="D120" s="4"/>
    </row>
    <row r="121" spans="1:4" x14ac:dyDescent="0.45">
      <c r="A121" s="3"/>
      <c r="B121" s="4"/>
      <c r="C121" s="4"/>
      <c r="D121" s="4"/>
    </row>
    <row r="122" spans="1:4" x14ac:dyDescent="0.45">
      <c r="A122" s="3"/>
      <c r="B122" s="4"/>
      <c r="C122" s="4"/>
      <c r="D122" s="4"/>
    </row>
    <row r="123" spans="1:4" x14ac:dyDescent="0.45">
      <c r="A123" s="3"/>
      <c r="B123" s="4"/>
      <c r="C123" s="4"/>
      <c r="D123" s="4"/>
    </row>
    <row r="124" spans="1:4" x14ac:dyDescent="0.45">
      <c r="A124" s="3"/>
      <c r="B124" s="4"/>
      <c r="C124" s="4"/>
      <c r="D124" s="4"/>
    </row>
    <row r="125" spans="1:4" x14ac:dyDescent="0.45">
      <c r="A125" s="3"/>
      <c r="B125" s="4"/>
      <c r="C125" s="4"/>
      <c r="D125" s="4"/>
    </row>
    <row r="126" spans="1:4" x14ac:dyDescent="0.45">
      <c r="A126" s="3"/>
      <c r="B126" s="4"/>
      <c r="C126" s="4"/>
      <c r="D126" s="4"/>
    </row>
    <row r="127" spans="1:4" x14ac:dyDescent="0.45">
      <c r="A127" s="3"/>
      <c r="B127" s="4"/>
      <c r="C127" s="4"/>
      <c r="D127" s="4"/>
    </row>
    <row r="128" spans="1:4" x14ac:dyDescent="0.45">
      <c r="A128" s="3"/>
      <c r="B128" s="4"/>
      <c r="C128" s="4"/>
      <c r="D128" s="4"/>
    </row>
    <row r="129" spans="1:4" x14ac:dyDescent="0.45">
      <c r="A129" s="3"/>
      <c r="B129" s="4"/>
      <c r="C129" s="4"/>
      <c r="D129" s="4"/>
    </row>
    <row r="130" spans="1:4" x14ac:dyDescent="0.45">
      <c r="A130" s="3"/>
      <c r="B130" s="4"/>
      <c r="C130" s="4"/>
      <c r="D130" s="4"/>
    </row>
    <row r="131" spans="1:4" x14ac:dyDescent="0.45">
      <c r="A131" s="3"/>
      <c r="B131" s="4"/>
      <c r="C131" s="4"/>
      <c r="D131" s="4"/>
    </row>
    <row r="132" spans="1:4" x14ac:dyDescent="0.45">
      <c r="A132" s="3"/>
      <c r="B132" s="4"/>
      <c r="C132" s="4"/>
      <c r="D132" s="4"/>
    </row>
    <row r="133" spans="1:4" x14ac:dyDescent="0.45">
      <c r="A133" s="3"/>
      <c r="B133" s="4"/>
      <c r="C133" s="4"/>
      <c r="D133" s="4"/>
    </row>
    <row r="134" spans="1:4" x14ac:dyDescent="0.45">
      <c r="A134" s="3"/>
      <c r="B134" s="4"/>
      <c r="C134" s="4"/>
      <c r="D134" s="4"/>
    </row>
    <row r="135" spans="1:4" x14ac:dyDescent="0.45">
      <c r="A135" s="3"/>
      <c r="B135" s="4"/>
      <c r="C135" s="4"/>
      <c r="D135" s="4"/>
    </row>
    <row r="136" spans="1:4" x14ac:dyDescent="0.45">
      <c r="A136" s="3"/>
      <c r="B136" s="4"/>
      <c r="C136" s="4"/>
      <c r="D136" s="4"/>
    </row>
    <row r="137" spans="1:4" x14ac:dyDescent="0.45">
      <c r="A137" s="3"/>
      <c r="B137" s="4"/>
      <c r="C137" s="4"/>
      <c r="D137" s="4"/>
    </row>
    <row r="138" spans="1:4" x14ac:dyDescent="0.45">
      <c r="A138" s="3"/>
      <c r="B138" s="4"/>
      <c r="C138" s="4"/>
      <c r="D138" s="4"/>
    </row>
    <row r="139" spans="1:4" x14ac:dyDescent="0.45">
      <c r="A139" s="3"/>
      <c r="B139" s="4"/>
      <c r="C139" s="4"/>
      <c r="D139" s="4"/>
    </row>
    <row r="140" spans="1:4" x14ac:dyDescent="0.45">
      <c r="A140" s="3"/>
      <c r="B140" s="4"/>
      <c r="C140" s="4"/>
      <c r="D140" s="4"/>
    </row>
    <row r="141" spans="1:4" x14ac:dyDescent="0.45">
      <c r="A141" s="3"/>
      <c r="B141" s="4"/>
      <c r="C141" s="4"/>
      <c r="D141" s="4"/>
    </row>
    <row r="142" spans="1:4" x14ac:dyDescent="0.45">
      <c r="A142" s="3"/>
      <c r="B142" s="4"/>
      <c r="C142" s="4"/>
      <c r="D142" s="4"/>
    </row>
    <row r="143" spans="1:4" x14ac:dyDescent="0.45">
      <c r="A143" s="3"/>
      <c r="B143" s="4"/>
      <c r="C143" s="4"/>
      <c r="D143" s="4"/>
    </row>
    <row r="144" spans="1:4" x14ac:dyDescent="0.45">
      <c r="A144" s="3"/>
      <c r="B144" s="4"/>
      <c r="C144" s="4"/>
      <c r="D144" s="4"/>
    </row>
    <row r="145" spans="1:4" x14ac:dyDescent="0.45">
      <c r="A145" s="3"/>
      <c r="B145" s="4"/>
      <c r="C145" s="4"/>
      <c r="D145" s="4"/>
    </row>
    <row r="146" spans="1:4" x14ac:dyDescent="0.45">
      <c r="A146" s="3"/>
      <c r="B146" s="4"/>
      <c r="C146" s="4"/>
      <c r="D146" s="4"/>
    </row>
    <row r="147" spans="1:4" x14ac:dyDescent="0.45">
      <c r="A147" s="3"/>
      <c r="B147" s="4"/>
      <c r="C147" s="4"/>
      <c r="D147" s="4"/>
    </row>
    <row r="148" spans="1:4" x14ac:dyDescent="0.45">
      <c r="A148" s="3"/>
      <c r="B148" s="4"/>
      <c r="C148" s="4"/>
      <c r="D148" s="4"/>
    </row>
    <row r="149" spans="1:4" x14ac:dyDescent="0.45">
      <c r="A149" s="3"/>
      <c r="B149" s="4"/>
      <c r="C149" s="4"/>
      <c r="D149" s="4"/>
    </row>
    <row r="150" spans="1:4" x14ac:dyDescent="0.45">
      <c r="A150" s="3"/>
      <c r="B150" s="4"/>
      <c r="C150" s="4"/>
      <c r="D150" s="4"/>
    </row>
    <row r="151" spans="1:4" x14ac:dyDescent="0.45">
      <c r="A151" s="3"/>
      <c r="B151" s="4"/>
      <c r="C151" s="4"/>
      <c r="D151" s="4"/>
    </row>
    <row r="152" spans="1:4" x14ac:dyDescent="0.45">
      <c r="A152" s="3"/>
      <c r="B152" s="4"/>
      <c r="C152" s="4"/>
      <c r="D152" s="4"/>
    </row>
    <row r="153" spans="1:4" x14ac:dyDescent="0.45">
      <c r="A153" s="3"/>
      <c r="B153" s="4"/>
      <c r="C153" s="4"/>
      <c r="D153" s="4"/>
    </row>
    <row r="154" spans="1:4" x14ac:dyDescent="0.45">
      <c r="A154" s="3"/>
      <c r="B154" s="4"/>
      <c r="C154" s="4"/>
      <c r="D154" s="4"/>
    </row>
    <row r="155" spans="1:4" x14ac:dyDescent="0.45">
      <c r="A155" s="3"/>
      <c r="B155" s="4"/>
      <c r="C155" s="4"/>
      <c r="D155" s="4"/>
    </row>
    <row r="156" spans="1:4" x14ac:dyDescent="0.45">
      <c r="A156" s="3"/>
      <c r="B156" s="4"/>
      <c r="C156" s="4"/>
      <c r="D156" s="4"/>
    </row>
    <row r="157" spans="1:4" x14ac:dyDescent="0.45">
      <c r="A157" s="3"/>
      <c r="B157" s="4"/>
      <c r="C157" s="4"/>
      <c r="D157" s="4"/>
    </row>
    <row r="158" spans="1:4" x14ac:dyDescent="0.45">
      <c r="A158" s="3"/>
      <c r="B158" s="4"/>
      <c r="C158" s="4"/>
      <c r="D158" s="4"/>
    </row>
    <row r="159" spans="1:4" x14ac:dyDescent="0.45">
      <c r="A159" s="3"/>
      <c r="B159" s="4"/>
      <c r="C159" s="4"/>
      <c r="D159" s="4"/>
    </row>
    <row r="160" spans="1:4" x14ac:dyDescent="0.45">
      <c r="A160" s="3"/>
      <c r="B160" s="4"/>
      <c r="C160" s="4"/>
      <c r="D160" s="4"/>
    </row>
    <row r="161" spans="1:4" x14ac:dyDescent="0.45">
      <c r="A161" s="3"/>
      <c r="B161" s="4"/>
      <c r="C161" s="4"/>
      <c r="D161" s="4"/>
    </row>
    <row r="162" spans="1:4" x14ac:dyDescent="0.45">
      <c r="A162" s="3"/>
      <c r="B162" s="4"/>
      <c r="C162" s="4"/>
      <c r="D162" s="4"/>
    </row>
  </sheetData>
  <phoneticPr fontId="4" type="noConversion"/>
  <dataValidations count="2">
    <dataValidation type="list" allowBlank="1" showInputMessage="1" showErrorMessage="1" errorTitle="Invalid Action" error="Please select an Action from the dropdown list." promptTitle="Select expected action" prompt="Choose the action the team expects for this email." sqref="C13:C162" xr:uid="{00000000-0002-0000-0000-000000000000}">
      <formula1>Action_List</formula1>
    </dataValidation>
    <dataValidation type="list" allowBlank="1" showInputMessage="1" showErrorMessage="1" errorTitle="Invalid Reason" error="Please select a Reason from the dropdown list." promptTitle="Select expected reason" prompt="Choose the main reason supporting the expected action." sqref="D13:D162" xr:uid="{00000000-0002-0000-0000-000001000000}">
      <formula1>Reason_List</formula1>
    </dataValidation>
  </dataValidations>
  <pageMargins left="0.35" right="0.35" top="0.5" bottom="0.5" header="0.3" footer="0.3"/>
  <pageSetup fitToHeight="0" orientation="landscape"/>
  <headerFooter>
    <oddHeader>&amp;C&amp;"Aptos,Bold"AI Agent Email Evaluation</oddHeader>
    <oddFooter>&amp;RPage &amp;P of &amp;N</oddFooter>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defaultRowHeight="14.25" x14ac:dyDescent="0.45"/>
  <sheetData>
    <row r="1" spans="1:2" x14ac:dyDescent="0.45">
      <c r="A1" t="s">
        <v>0</v>
      </c>
      <c r="B1" t="s">
        <v>10</v>
      </c>
    </row>
    <row r="2" spans="1:2" x14ac:dyDescent="0.45">
      <c r="A2" t="s">
        <v>1</v>
      </c>
      <c r="B2" t="s">
        <v>11</v>
      </c>
    </row>
    <row r="3" spans="1:2" x14ac:dyDescent="0.45">
      <c r="A3" t="s">
        <v>2</v>
      </c>
      <c r="B3" t="s">
        <v>12</v>
      </c>
    </row>
    <row r="4" spans="1:2" x14ac:dyDescent="0.45">
      <c r="A4" t="s">
        <v>3</v>
      </c>
      <c r="B4" t="s">
        <v>13</v>
      </c>
    </row>
    <row r="5" spans="1:2" x14ac:dyDescent="0.45">
      <c r="A5" t="s">
        <v>4</v>
      </c>
      <c r="B5" t="s">
        <v>14</v>
      </c>
    </row>
    <row r="6" spans="1:2" x14ac:dyDescent="0.45">
      <c r="A6" t="s">
        <v>5</v>
      </c>
      <c r="B6" t="s">
        <v>15</v>
      </c>
    </row>
    <row r="7" spans="1:2" x14ac:dyDescent="0.45">
      <c r="A7" t="s">
        <v>6</v>
      </c>
      <c r="B7" t="s">
        <v>16</v>
      </c>
    </row>
    <row r="8" spans="1:2" x14ac:dyDescent="0.45">
      <c r="A8" t="s">
        <v>7</v>
      </c>
      <c r="B8" t="s">
        <v>17</v>
      </c>
    </row>
    <row r="9" spans="1:2" x14ac:dyDescent="0.45">
      <c r="A9" t="s">
        <v>8</v>
      </c>
      <c r="B9" t="s">
        <v>18</v>
      </c>
    </row>
    <row r="10" spans="1:2" x14ac:dyDescent="0.45">
      <c r="A10" t="s">
        <v>9</v>
      </c>
      <c r="B10" t="s">
        <v>19</v>
      </c>
    </row>
    <row r="11" spans="1:2" x14ac:dyDescent="0.45">
      <c r="B11" t="s">
        <v>20</v>
      </c>
    </row>
    <row r="12" spans="1:2" x14ac:dyDescent="0.45">
      <c r="B12" t="s">
        <v>21</v>
      </c>
    </row>
    <row r="13" spans="1:2" x14ac:dyDescent="0.45">
      <c r="B13" t="s">
        <v>22</v>
      </c>
    </row>
    <row r="14" spans="1:2" x14ac:dyDescent="0.45">
      <c r="B14" t="s">
        <v>23</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Evaluation</vt:lpstr>
      <vt:lpstr>Lists</vt:lpstr>
      <vt:lpstr>Action_List</vt:lpstr>
      <vt:lpstr>Reason_List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Jeremy</dc:creator>
  <cp:lastModifiedBy>Williams, Jeremy</cp:lastModifiedBy>
  <dcterms:created xsi:type="dcterms:W3CDTF">2026-05-07T15:46:13Z</dcterms:created>
  <dcterms:modified xsi:type="dcterms:W3CDTF">2026-05-13T15:32:17Z</dcterms:modified>
</cp:coreProperties>
</file>